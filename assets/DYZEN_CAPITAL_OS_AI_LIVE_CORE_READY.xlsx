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visible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visible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visible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visible" r:id="rId29"/>
    <sheet xmlns:r="http://schemas.openxmlformats.org/officeDocument/2006/relationships" name="PARALLEL_BACKTEST_MATRIX" sheetId="30" state="visible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visible" r:id="rId34"/>
    <sheet xmlns:r="http://schemas.openxmlformats.org/officeDocument/2006/relationships" name="PARAMETER_BREEDING_LAB" sheetId="35" state="visible" r:id="rId35"/>
    <sheet xmlns:r="http://schemas.openxmlformats.org/officeDocument/2006/relationships" name="DNA_SWAP_MATRIX" sheetId="36" state="visible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visible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REGIME_WEIGHT_ENGINE" sheetId="63" state="visible" r:id="rId63"/>
    <sheet xmlns:r="http://schemas.openxmlformats.org/officeDocument/2006/relationships" name="TRADE_CLUSTER_ENGINE" sheetId="64" state="visible" r:id="rId64"/>
    <sheet xmlns:r="http://schemas.openxmlformats.org/officeDocument/2006/relationships" name="EQUITY_FEEDBACK_ENGINE" sheetId="65" state="visible" r:id="rId65"/>
    <sheet xmlns:r="http://schemas.openxmlformats.org/officeDocument/2006/relationships" name="DRAWDOWN_THROTTLE" sheetId="66" state="visible" r:id="rId66"/>
    <sheet xmlns:r="http://schemas.openxmlformats.org/officeDocument/2006/relationships" name="SOFT_ACTIVATION_ENGINE" sheetId="67" state="visible" r:id="rId6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styles" Target="styles.xml" Id="rId68"/><Relationship Type="http://schemas.openxmlformats.org/officeDocument/2006/relationships/theme" Target="theme/theme1.xml" Id="rId6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</row>
    <row r="2">
      <c r="D2">
        <f>IF(AND(B2="ALLOW",C2="YES",A2&gt;0.6),"EXECUTE","STAND_BY")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Trend W</t>
        </is>
      </c>
      <c r="C1" t="inlineStr">
        <is>
          <t>Structure W</t>
        </is>
      </c>
      <c r="D1" t="inlineStr">
        <is>
          <t>Volume W</t>
        </is>
      </c>
      <c r="E1" t="inlineStr">
        <is>
          <t>Risk W</t>
        </is>
      </c>
      <c r="F1" t="inlineStr">
        <is>
          <t>Conf W</t>
        </is>
      </c>
      <c r="G1" t="inlineStr">
        <is>
          <t>Vol W</t>
        </is>
      </c>
    </row>
    <row r="2">
      <c r="A2" t="inlineStr">
        <is>
          <t>TREND</t>
        </is>
      </c>
      <c r="B2" t="n">
        <v>0.3</v>
      </c>
      <c r="C2" t="n">
        <v>0.22</v>
      </c>
      <c r="D2" t="n">
        <v>0.12</v>
      </c>
      <c r="E2" t="n">
        <v>0.14</v>
      </c>
      <c r="F2" t="n">
        <v>0.14</v>
      </c>
      <c r="G2" t="n">
        <v>0.08</v>
      </c>
    </row>
    <row r="3">
      <c r="A3" t="inlineStr">
        <is>
          <t>CHOP</t>
        </is>
      </c>
      <c r="B3" t="n">
        <v>0.18</v>
      </c>
      <c r="C3" t="n">
        <v>0.24</v>
      </c>
      <c r="D3" t="n">
        <v>0.2</v>
      </c>
      <c r="E3" t="n">
        <v>0.16</v>
      </c>
      <c r="F3" t="n">
        <v>0.14</v>
      </c>
      <c r="G3" t="n">
        <v>0.08</v>
      </c>
    </row>
    <row r="4">
      <c r="A4" t="inlineStr">
        <is>
          <t>HIGH_VOL</t>
        </is>
      </c>
      <c r="B4" t="n">
        <v>0.22</v>
      </c>
      <c r="C4" t="n">
        <v>0.2</v>
      </c>
      <c r="D4" t="n">
        <v>0.14</v>
      </c>
      <c r="E4" t="n">
        <v>0.2</v>
      </c>
      <c r="F4" t="n">
        <v>0.14</v>
      </c>
      <c r="G4" t="n">
        <v>0.1</v>
      </c>
    </row>
    <row r="6">
      <c r="A6" t="inlineStr">
        <is>
          <t>Current Regime</t>
        </is>
      </c>
    </row>
    <row r="7">
      <c r="A7" t="inlineStr">
        <is>
          <t>Active Trend Weight</t>
        </is>
      </c>
      <c r="B7">
        <f>IFERROR(VLOOKUP(B6,A2:G4,2,FALSE),0.25)</f>
        <v/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Trades Last 60m</t>
        </is>
      </c>
    </row>
    <row r="3">
      <c r="A3" t="inlineStr">
        <is>
          <t>Same Direction Trades</t>
        </is>
      </c>
    </row>
    <row r="4">
      <c r="A4" t="inlineStr">
        <is>
          <t>Cluster Heat</t>
        </is>
      </c>
      <c r="B4">
        <f>IFERROR((B2*0.6+B3*0.4)/5,0)</f>
        <v/>
      </c>
    </row>
    <row r="5">
      <c r="A5" t="inlineStr">
        <is>
          <t>Cluster Status</t>
        </is>
      </c>
      <c r="B5">
        <f>IF(B4&gt;=0.8,"BLOCK",IF(B4&gt;=0.5,"REDUCE","ALLOW"))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Bar</t>
        </is>
      </c>
      <c r="B1" t="inlineStr">
        <is>
          <t>Equity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3">
      <c r="A23" t="inlineStr">
        <is>
          <t>Equity Slope</t>
        </is>
      </c>
      <c r="B23">
        <f>IFERROR(SLOPE(B2:B21,A2:A21),0)</f>
        <v/>
      </c>
    </row>
    <row r="24">
      <c r="A24" t="inlineStr">
        <is>
          <t>Performance Mode</t>
        </is>
      </c>
      <c r="B24">
        <f>IF(B23&gt;0.0,"AGGRESSIVE",IF(B23&lt;-0.02,"DEFENSIVE","NORMAL"))</f>
        <v/>
      </c>
    </row>
    <row r="25">
      <c r="A25" t="inlineStr">
        <is>
          <t>Size Multiplier</t>
        </is>
      </c>
      <c r="B25">
        <f>IF(B24="AGGRESSIVE",1.15,IF(B24="DEFENSIVE",0.75,1.0))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Peak Equity</t>
        </is>
      </c>
    </row>
    <row r="3">
      <c r="A3" t="inlineStr">
        <is>
          <t>Current Equity</t>
        </is>
      </c>
    </row>
    <row r="4">
      <c r="A4" t="inlineStr">
        <is>
          <t>Drawdown %</t>
        </is>
      </c>
      <c r="B4">
        <f>IFERROR((B2-B3)/B2,0)</f>
        <v/>
      </c>
    </row>
    <row r="5">
      <c r="A5" t="inlineStr">
        <is>
          <t>Throttle Mode</t>
        </is>
      </c>
      <c r="B5">
        <f>IF(B4&gt;0.15,"SURVIVAL",IF(B4&gt;0.08,"DEFENSIVE","NORMAL"))</f>
        <v/>
      </c>
    </row>
    <row r="6">
      <c r="A6" t="inlineStr">
        <is>
          <t>Throttle Multiplier</t>
        </is>
      </c>
      <c r="B6">
        <f>IF(B5="SURVIVAL",0.40,IF(B5="DEFENSIVE",0.70,1.0))</f>
        <v/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AI Score</t>
        </is>
      </c>
    </row>
    <row r="3">
      <c r="A3" t="inlineStr">
        <is>
          <t>Gate Score (0-1)</t>
        </is>
      </c>
    </row>
    <row r="4">
      <c r="A4" t="inlineStr">
        <is>
          <t>Soft Decision</t>
        </is>
      </c>
      <c r="B4">
        <f>IF(AND(B2&gt;0.62,B3&gt;=0.80),"FULL_EXECUTE",IF(AND(B2&gt;0.52,B3&gt;=0.60),"LIGHT_EXECUTE","STAND_BY"))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2026-02-18T22:10:16Z</dcterms:modified>
</cp:coreProperties>
</file>