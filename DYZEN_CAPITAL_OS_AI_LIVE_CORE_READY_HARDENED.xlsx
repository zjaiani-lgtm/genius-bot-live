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NSIC_LOGIC_MATRIX" sheetId="1" state="visible" r:id="rId1"/>
    <sheet xmlns:r="http://schemas.openxmlformats.org/officeDocument/2006/relationships" name="SELL_LOGIC_EVOLUTION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CONFLICT_OVERRIDE" sheetId="4" state="visible" r:id="rId4"/>
    <sheet xmlns:r="http://schemas.openxmlformats.org/officeDocument/2006/relationships" name="UNIFIED_MASTER_ENGINE" sheetId="5" state="visible" r:id="rId5"/>
    <sheet xmlns:r="http://schemas.openxmlformats.org/officeDocument/2006/relationships" name="BACKTEST_SIMULATION" sheetId="6" state="visible" r:id="rId6"/>
    <sheet xmlns:r="http://schemas.openxmlformats.org/officeDocument/2006/relationships" name="MONTE_CARLO_SIM" sheetId="7" state="visible" r:id="rId7"/>
    <sheet xmlns:r="http://schemas.openxmlformats.org/officeDocument/2006/relationships" name="VOLATILITY_REGIME" sheetId="8" state="visible" r:id="rId8"/>
    <sheet xmlns:r="http://schemas.openxmlformats.org/officeDocument/2006/relationships" name="EQUITY_ADAPTIVE_SCALING" sheetId="9" state="visible" r:id="rId9"/>
    <sheet xmlns:r="http://schemas.openxmlformats.org/officeDocument/2006/relationships" name="TRADE_CLUSTER_PROTECTION" sheetId="10" state="visible" r:id="rId10"/>
    <sheet xmlns:r="http://schemas.openxmlformats.org/officeDocument/2006/relationships" name="AUTO_WEIGHT_ADJUSTER" sheetId="11" state="visible" r:id="rId11"/>
    <sheet xmlns:r="http://schemas.openxmlformats.org/officeDocument/2006/relationships" name="MONTE_CARLO_1000" sheetId="12" state="visible" r:id="rId12"/>
    <sheet xmlns:r="http://schemas.openxmlformats.org/officeDocument/2006/relationships" name="DYNAMIC_WEIGHT_SWITCH" sheetId="13" state="visible" r:id="rId13"/>
    <sheet xmlns:r="http://schemas.openxmlformats.org/officeDocument/2006/relationships" name="EQUITY_SLOPE_DETECTOR" sheetId="14" state="visible" r:id="rId14"/>
    <sheet xmlns:r="http://schemas.openxmlformats.org/officeDocument/2006/relationships" name="CORRELATION_FILTER" sheetId="15" state="visible" r:id="rId15"/>
    <sheet xmlns:r="http://schemas.openxmlformats.org/officeDocument/2006/relationships" name="PORTFOLIO_ALLOCATOR" sheetId="16" state="visible" r:id="rId16"/>
    <sheet xmlns:r="http://schemas.openxmlformats.org/officeDocument/2006/relationships" name="PATH_MONTE_CARLO" sheetId="17" state="visible" r:id="rId17"/>
    <sheet xmlns:r="http://schemas.openxmlformats.org/officeDocument/2006/relationships" name="KELLY_ADAPTIVE" sheetId="18" state="visible" r:id="rId18"/>
    <sheet xmlns:r="http://schemas.openxmlformats.org/officeDocument/2006/relationships" name="REGIME_PROB_MATRIX" sheetId="19" state="visible" r:id="rId19"/>
    <sheet xmlns:r="http://schemas.openxmlformats.org/officeDocument/2006/relationships" name="BAYESIAN_WEIGHT_UPDATE" sheetId="20" state="visible" r:id="rId20"/>
    <sheet xmlns:r="http://schemas.openxmlformats.org/officeDocument/2006/relationships" name="HMM_REGIME_MODEL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CAPITAL_VELOCITY_OPTIMIZER" sheetId="24" state="visible" r:id="rId24"/>
    <sheet xmlns:r="http://schemas.openxmlformats.org/officeDocument/2006/relationships" name="SELF_LEARNING_ENGINE" sheetId="25" state="visible" r:id="rId25"/>
    <sheet xmlns:r="http://schemas.openxmlformats.org/officeDocument/2006/relationships" name="AUTONOMOUS_REALLOCATOR" sheetId="26" state="visible" r:id="rId26"/>
    <sheet xmlns:r="http://schemas.openxmlformats.org/officeDocument/2006/relationships" name="ADAPTIVE_RISK_LOOP" sheetId="27" state="visible" r:id="rId27"/>
    <sheet xmlns:r="http://schemas.openxmlformats.org/officeDocument/2006/relationships" name="SYSTEM_EVOLUTION_TRACKER" sheetId="28" state="visible" r:id="rId28"/>
    <sheet xmlns:r="http://schemas.openxmlformats.org/officeDocument/2006/relationships" name="FUND_SIM_GRID" sheetId="29" state="visible" r:id="rId29"/>
    <sheet xmlns:r="http://schemas.openxmlformats.org/officeDocument/2006/relationships" name="PARALLEL_BACKTEST_MATRIX" sheetId="30" state="visible" r:id="rId30"/>
    <sheet xmlns:r="http://schemas.openxmlformats.org/officeDocument/2006/relationships" name="SURVIVAL_SELECTION" sheetId="31" state="visible" r:id="rId31"/>
    <sheet xmlns:r="http://schemas.openxmlformats.org/officeDocument/2006/relationships" name="CAPITAL_REDISTRIBUTION" sheetId="32" state="visible" r:id="rId32"/>
    <sheet xmlns:r="http://schemas.openxmlformats.org/officeDocument/2006/relationships" name="FUND_META_DASHBOARD" sheetId="33" state="visible" r:id="rId33"/>
    <sheet xmlns:r="http://schemas.openxmlformats.org/officeDocument/2006/relationships" name="STRATEGY_MUTATION_ENGINE" sheetId="34" state="visible" r:id="rId34"/>
    <sheet xmlns:r="http://schemas.openxmlformats.org/officeDocument/2006/relationships" name="PARAMETER_BREEDING_LAB" sheetId="35" state="visible" r:id="rId35"/>
    <sheet xmlns:r="http://schemas.openxmlformats.org/officeDocument/2006/relationships" name="DNA_SWAP_MATRIX" sheetId="36" state="visible" r:id="rId36"/>
    <sheet xmlns:r="http://schemas.openxmlformats.org/officeDocument/2006/relationships" name="EVOLUTION_SCORE_MEMORY" sheetId="37" state="visible" r:id="rId37"/>
    <sheet xmlns:r="http://schemas.openxmlformats.org/officeDocument/2006/relationships" name="EVOLUTION_CONTROL_PANEL" sheetId="38" state="visible" r:id="rId38"/>
    <sheet xmlns:r="http://schemas.openxmlformats.org/officeDocument/2006/relationships" name="SELF_IMPROVING_REGIME" sheetId="39" state="visible" r:id="rId39"/>
    <sheet xmlns:r="http://schemas.openxmlformats.org/officeDocument/2006/relationships" name="CROSS_MARKET_ADAPTIVE" sheetId="40" state="visible" r:id="rId40"/>
    <sheet xmlns:r="http://schemas.openxmlformats.org/officeDocument/2006/relationships" name="CAPITAL_FLOW_MODEL" sheetId="41" state="visible" r:id="rId41"/>
    <sheet xmlns:r="http://schemas.openxmlformats.org/officeDocument/2006/relationships" name="META_FUND_LAYER" sheetId="42" state="visible" r:id="rId42"/>
    <sheet xmlns:r="http://schemas.openxmlformats.org/officeDocument/2006/relationships" name="GLOBAL_LIQUIDITY_PROXY" sheetId="43" state="visible" r:id="rId43"/>
    <sheet xmlns:r="http://schemas.openxmlformats.org/officeDocument/2006/relationships" name="MACRO_RISK_THERMOMETER" sheetId="44" state="visible" r:id="rId44"/>
    <sheet xmlns:r="http://schemas.openxmlformats.org/officeDocument/2006/relationships" name="CAPITAL_SHOCK_ABSORBER" sheetId="45" state="visible" r:id="rId45"/>
    <sheet xmlns:r="http://schemas.openxmlformats.org/officeDocument/2006/relationships" name="CAPITAL_PRESERVATION_MODE" sheetId="46" state="visible" r:id="rId46"/>
    <sheet xmlns:r="http://schemas.openxmlformats.org/officeDocument/2006/relationships" name="GLOBAL_REGIME_SYNC" sheetId="47" state="visible" r:id="rId47"/>
    <sheet xmlns:r="http://schemas.openxmlformats.org/officeDocument/2006/relationships" name="CRISIS_SIM_MATRIX" sheetId="48" state="visible" r:id="rId48"/>
    <sheet xmlns:r="http://schemas.openxmlformats.org/officeDocument/2006/relationships" name="STRESS_PROPAGATION_MODEL" sheetId="49" state="visible" r:id="rId49"/>
    <sheet xmlns:r="http://schemas.openxmlformats.org/officeDocument/2006/relationships" name="RISK_OFF_ROTATION" sheetId="50" state="visible" r:id="rId50"/>
    <sheet xmlns:r="http://schemas.openxmlformats.org/officeDocument/2006/relationships" name="GLOBAL_CAPITAL_CYCLE" sheetId="51" state="visible" r:id="rId51"/>
    <sheet xmlns:r="http://schemas.openxmlformats.org/officeDocument/2006/relationships" name="SYSTEMIC_FRAGILITY_INDEX" sheetId="52" state="visible" r:id="rId52"/>
    <sheet xmlns:r="http://schemas.openxmlformats.org/officeDocument/2006/relationships" name="LIQUIDITY_VACUUM" sheetId="53" state="visible" r:id="rId53"/>
    <sheet xmlns:r="http://schemas.openxmlformats.org/officeDocument/2006/relationships" name="CAPITAL_MIGRATION_MATRIX" sheetId="54" state="visible" r:id="rId54"/>
    <sheet xmlns:r="http://schemas.openxmlformats.org/officeDocument/2006/relationships" name="AI_DECISION_FUSION" sheetId="55" state="visible" r:id="rId55"/>
    <sheet xmlns:r="http://schemas.openxmlformats.org/officeDocument/2006/relationships" name="AI_CONFIDENCE_CALIBRATOR" sheetId="56" state="visible" r:id="rId56"/>
    <sheet xmlns:r="http://schemas.openxmlformats.org/officeDocument/2006/relationships" name="AI_RISK_DISTRIBUTOR" sheetId="57" state="visible" r:id="rId57"/>
    <sheet xmlns:r="http://schemas.openxmlformats.org/officeDocument/2006/relationships" name="AI_AUTONOMOUS_LOOP" sheetId="58" state="visible" r:id="rId58"/>
    <sheet xmlns:r="http://schemas.openxmlformats.org/officeDocument/2006/relationships" name="AI_META_DASHBOARD" sheetId="59" state="visible" r:id="rId59"/>
    <sheet xmlns:r="http://schemas.openxmlformats.org/officeDocument/2006/relationships" name="LIVE_MACRO_RISK_GATE" sheetId="60" state="visible" r:id="rId60"/>
    <sheet xmlns:r="http://schemas.openxmlformats.org/officeDocument/2006/relationships" name="LIVE_STRATEGY_SELECTOR" sheetId="61" state="visible" r:id="rId61"/>
    <sheet xmlns:r="http://schemas.openxmlformats.org/officeDocument/2006/relationships" name="AI_MASTER_LIVE_DECISION" sheetId="62" state="visible" r:id="rId62"/>
    <sheet xmlns:r="http://schemas.openxmlformats.org/officeDocument/2006/relationships" name="SYSTEM_CONFIG" sheetId="63" state="visible" r:id="rId63"/>
    <sheet xmlns:r="http://schemas.openxmlformats.org/officeDocument/2006/relationships" name="RISK_ENVELOPE_LOCK" sheetId="64" state="visible" r:id="rId64"/>
    <sheet xmlns:r="http://schemas.openxmlformats.org/officeDocument/2006/relationships" name="EXECUTION_REALITY" sheetId="65" state="visible" r:id="rId65"/>
    <sheet xmlns:r="http://schemas.openxmlformats.org/officeDocument/2006/relationships" name="LIVE_EDGE_MONITOR" sheetId="66" state="visible" r:id="rId66"/>
    <sheet xmlns:r="http://schemas.openxmlformats.org/officeDocument/2006/relationships" name="SELL_FIREWALL" sheetId="67" state="visible" r:id="rId67"/>
    <sheet xmlns:r="http://schemas.openxmlformats.org/officeDocument/2006/relationships" name="SYSTEM_HEARTBEAT" sheetId="68" state="visible" r:id="rId6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styles" Target="styles.xml" Id="rId69"/><Relationship Type="http://schemas.openxmlformats.org/officeDocument/2006/relationships/theme" Target="theme/theme1.xml" Id="rId7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COMPONENT_ID</t>
        </is>
      </c>
      <c r="B1" s="1" t="inlineStr">
        <is>
          <t>WEIGHT</t>
        </is>
      </c>
      <c r="C1" s="1" t="n"/>
      <c r="D1" s="1" t="n"/>
    </row>
    <row r="2">
      <c r="A2" t="inlineStr">
        <is>
          <t>TREND_STRENGTH</t>
        </is>
      </c>
      <c r="B2" t="n">
        <v>0.25</v>
      </c>
    </row>
    <row r="3">
      <c r="A3" t="inlineStr">
        <is>
          <t>VOLATILITY_REGIME</t>
        </is>
      </c>
      <c r="B3" t="n">
        <v>0.1</v>
      </c>
    </row>
    <row r="4">
      <c r="A4" t="inlineStr">
        <is>
          <t>CONFIDENCE_SCORE</t>
        </is>
      </c>
      <c r="B4" t="n">
        <v>0.15</v>
      </c>
    </row>
    <row r="5">
      <c r="A5" t="inlineStr">
        <is>
          <t>RISK_STATE_MODIFIER</t>
        </is>
      </c>
      <c r="B5" t="n">
        <v>0.15</v>
      </c>
    </row>
    <row r="6">
      <c r="A6" t="inlineStr">
        <is>
          <t>VOLUME_CONFIRMATION</t>
        </is>
      </c>
      <c r="B6" t="n">
        <v>0.15</v>
      </c>
    </row>
    <row r="7">
      <c r="A7" t="inlineStr">
        <is>
          <t>STRUCTURE_VALIDATION</t>
        </is>
      </c>
      <c r="B7" t="n">
        <v>0.2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OPERATOR</t>
        </is>
      </c>
      <c r="C1" s="1" t="inlineStr">
        <is>
          <t>VALUE</t>
        </is>
      </c>
      <c r="D1" s="1" t="inlineStr">
        <is>
          <t>RESULT</t>
        </is>
      </c>
    </row>
    <row r="2">
      <c r="A2" t="inlineStr">
        <is>
          <t>LIQUIDITY</t>
        </is>
      </c>
      <c r="B2" t="inlineStr">
        <is>
          <t>=</t>
        </is>
      </c>
      <c r="C2" t="inlineStr">
        <is>
          <t>CONTRACTION</t>
        </is>
      </c>
      <c r="D2" t="inlineStr">
        <is>
          <t>BLOCK</t>
        </is>
      </c>
    </row>
    <row r="3">
      <c r="A3" t="inlineStr">
        <is>
          <t>FRAGILITY</t>
        </is>
      </c>
      <c r="B3" t="inlineStr">
        <is>
          <t>=</t>
        </is>
      </c>
      <c r="C3" t="inlineStr">
        <is>
          <t>HIGH</t>
        </is>
      </c>
      <c r="D3" t="inlineStr">
        <is>
          <t>BLOCK</t>
        </is>
      </c>
    </row>
    <row r="4">
      <c r="A4" t="inlineStr">
        <is>
          <t>DEFAULT</t>
        </is>
      </c>
      <c r="B4" t="inlineStr">
        <is>
          <t>ANY</t>
        </is>
      </c>
      <c r="C4" t="inlineStr">
        <is>
          <t>ANY</t>
        </is>
      </c>
      <c r="D4" t="inlineStr">
        <is>
          <t>ALLOW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C2">
        <f>RANK(B2,B2:B6)</f>
        <v/>
      </c>
      <c r="D2">
        <f>IF(C2&lt;=2,"YES","NO")</f>
        <v/>
      </c>
    </row>
    <row r="3">
      <c r="A3" t="inlineStr">
        <is>
          <t>STRAT_2</t>
        </is>
      </c>
      <c r="C3">
        <f>RANK(B3,B2:B6)</f>
        <v/>
      </c>
      <c r="D3">
        <f>IF(C3&lt;=2,"YES","NO")</f>
        <v/>
      </c>
    </row>
    <row r="4">
      <c r="A4" t="inlineStr">
        <is>
          <t>STRAT_3</t>
        </is>
      </c>
      <c r="C4">
        <f>RANK(B4,B2:B6)</f>
        <v/>
      </c>
      <c r="D4">
        <f>IF(C4&lt;=2,"YES","NO")</f>
        <v/>
      </c>
    </row>
    <row r="5">
      <c r="A5" t="inlineStr">
        <is>
          <t>STRAT_4</t>
        </is>
      </c>
      <c r="C5">
        <f>RANK(B5,B2:B6)</f>
        <v/>
      </c>
      <c r="D5">
        <f>IF(C5&lt;=2,"YES","NO")</f>
        <v/>
      </c>
    </row>
    <row r="6">
      <c r="A6" t="inlineStr">
        <is>
          <t>STRAT_5</t>
        </is>
      </c>
      <c r="C6">
        <f>RANK(B6,B2:B6)</f>
        <v/>
      </c>
      <c r="D6">
        <f>IF(C6&lt;=2,"YES","NO")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MIN_AI_SCORE</t>
        </is>
      </c>
      <c r="B1" s="1" t="inlineStr">
        <is>
          <t>MACRO</t>
        </is>
      </c>
      <c r="C1" s="1" t="inlineStr">
        <is>
          <t>STRATEGY_ACTIVE</t>
        </is>
      </c>
      <c r="D1" s="1" t="inlineStr">
        <is>
          <t>FINAL_ACTION</t>
        </is>
      </c>
    </row>
    <row r="2">
      <c r="A2" t="n">
        <v>0.6</v>
      </c>
      <c r="B2" t="inlineStr">
        <is>
          <t>ALLOW</t>
        </is>
      </c>
      <c r="C2" t="inlineStr">
        <is>
          <t>YES</t>
        </is>
      </c>
      <c r="D2" t="inlineStr">
        <is>
          <t>HOLD</t>
        </is>
      </c>
    </row>
    <row r="3">
      <c r="A3" t="n">
        <v>0</v>
      </c>
      <c r="B3" t="inlineStr">
        <is>
          <t>ANY</t>
        </is>
      </c>
      <c r="C3" t="inlineStr">
        <is>
          <t>ANY</t>
        </is>
      </c>
      <c r="D3" t="inlineStr">
        <is>
          <t>STAND_BY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MIN_AI_SCORE</t>
        </is>
      </c>
      <c r="B2" t="n">
        <v>0.6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max_risk_per_trade</t>
        </is>
      </c>
      <c r="B1" s="1" t="inlineStr">
        <is>
          <t>max_daily_loss</t>
        </is>
      </c>
      <c r="C1" s="1" t="inlineStr">
        <is>
          <t>max_weekly_loss</t>
        </is>
      </c>
      <c r="D1" s="1" t="inlineStr">
        <is>
          <t>max_open_positions</t>
        </is>
      </c>
      <c r="E1" s="1" t="inlineStr">
        <is>
          <t>emergency_kill_dd</t>
        </is>
      </c>
      <c r="F1" s="1" t="inlineStr">
        <is>
          <t>Current_Drawdown</t>
        </is>
      </c>
      <c r="G1" s="1" t="inlineStr">
        <is>
          <t>KILL_SWITCH</t>
        </is>
      </c>
    </row>
    <row r="2">
      <c r="A2" t="n">
        <v>0.01</v>
      </c>
      <c r="B2" t="n">
        <v>0.02</v>
      </c>
      <c r="C2" t="n">
        <v>0.05</v>
      </c>
      <c r="D2" t="n">
        <v>5</v>
      </c>
      <c r="E2" t="n">
        <v>0.1</v>
      </c>
      <c r="F2" t="n">
        <v>0</v>
      </c>
      <c r="G2" t="inlineStr">
        <is>
          <t>OK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Raw_Expectancy</t>
        </is>
      </c>
      <c r="B1" s="1" t="inlineStr">
        <is>
          <t>Slippage_Cost</t>
        </is>
      </c>
      <c r="C1" s="1" t="inlineStr">
        <is>
          <t>Spread_Cost</t>
        </is>
      </c>
      <c r="D1" s="1" t="inlineStr">
        <is>
          <t>Latency_Cost</t>
        </is>
      </c>
      <c r="E1" s="1" t="inlineStr">
        <is>
          <t>Real_Expectancy</t>
        </is>
      </c>
    </row>
    <row r="2">
      <c r="A2" t="n">
        <v>0.02</v>
      </c>
      <c r="B2" t="n">
        <v>0.001</v>
      </c>
      <c r="C2" t="n">
        <v>0.001</v>
      </c>
      <c r="D2" t="n">
        <v>0.0005</v>
      </c>
      <c r="E2">
        <f>A2-B2-C2-D2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rolling_winrate_50</t>
        </is>
      </c>
      <c r="B1" s="1" t="inlineStr">
        <is>
          <t>rolling_R</t>
        </is>
      </c>
      <c r="C1" s="1" t="inlineStr">
        <is>
          <t>live_expectancy</t>
        </is>
      </c>
      <c r="D1" s="1" t="inlineStr">
        <is>
          <t>edge_decay_flag</t>
        </is>
      </c>
      <c r="E1" s="1" t="inlineStr">
        <is>
          <t>system_health_score</t>
        </is>
      </c>
    </row>
    <row r="2">
      <c r="A2" t="n">
        <v>0.55</v>
      </c>
      <c r="B2" t="n">
        <v>1.2</v>
      </c>
      <c r="C2" t="n">
        <v>0.01</v>
      </c>
      <c r="D2">
        <f>IF(C2&lt;0,"EDGE_DECAY","OK")</f>
        <v/>
      </c>
      <c r="E2">
        <f>IF(D2="EDGE_DECAY",0.3,1)</f>
        <v/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Structure_OK</t>
        </is>
      </c>
      <c r="B1" s="1" t="inlineStr">
        <is>
          <t>Price_vs_VWAP</t>
        </is>
      </c>
      <c r="C1" s="1" t="inlineStr">
        <is>
          <t>Momentum_Down</t>
        </is>
      </c>
      <c r="D1" s="1" t="inlineStr">
        <is>
          <t>Sell_Confidence</t>
        </is>
      </c>
      <c r="E1" s="1" t="inlineStr">
        <is>
          <t>SELL_DECISION</t>
        </is>
      </c>
    </row>
    <row r="2">
      <c r="A2" t="b">
        <v>1</v>
      </c>
      <c r="B2" t="n">
        <v>-1</v>
      </c>
      <c r="C2" t="b">
        <v>1</v>
      </c>
      <c r="D2" t="n">
        <v>0.65</v>
      </c>
      <c r="E2" t="inlineStr">
        <is>
          <t>HOLD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data_delay_flag</t>
        </is>
      </c>
      <c r="B1" s="1" t="inlineStr">
        <is>
          <t>signal_conflict_flag</t>
        </is>
      </c>
      <c r="C1" s="1" t="inlineStr">
        <is>
          <t>execution_error_flag</t>
        </is>
      </c>
      <c r="D1" s="1" t="inlineStr">
        <is>
          <t>risk_divergence_flag</t>
        </is>
      </c>
      <c r="E1" s="1" t="inlineStr">
        <is>
          <t>GLOBAL_STATUS</t>
        </is>
      </c>
    </row>
    <row r="2">
      <c r="A2" t="n">
        <v>0</v>
      </c>
      <c r="B2" t="n">
        <v>0</v>
      </c>
      <c r="C2" t="n">
        <v>0</v>
      </c>
      <c r="D2" t="n">
        <v>0</v>
      </c>
      <c r="E2" t="inlineStr">
        <is>
          <t>RUN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2026-02-13T19:04:38Z</dcterms:modified>
</cp:coreProperties>
</file>